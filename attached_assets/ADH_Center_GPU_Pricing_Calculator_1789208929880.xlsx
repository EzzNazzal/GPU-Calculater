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ma.a\Desktop\AI center\ADH\"/>
    </mc:Choice>
  </mc:AlternateContent>
  <bookViews>
    <workbookView xWindow="0" yWindow="0" windowWidth="19200" windowHeight="6350" tabRatio="500"/>
  </bookViews>
  <sheets>
    <sheet name="GPU Cost Calculator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4" i="1" l="1"/>
  <c r="B33" i="1"/>
  <c r="B26" i="1"/>
  <c r="B20" i="1"/>
  <c r="B21" i="1" s="1"/>
  <c r="B36" i="1" s="1"/>
  <c r="B37" i="1" s="1"/>
  <c r="B41" i="1" s="1"/>
  <c r="B14" i="1"/>
  <c r="B8" i="1"/>
  <c r="B48" i="1" l="1"/>
  <c r="B47" i="1"/>
  <c r="B50" i="1" l="1"/>
  <c r="B49" i="1"/>
</calcChain>
</file>

<file path=xl/sharedStrings.xml><?xml version="1.0" encoding="utf-8"?>
<sst xmlns="http://schemas.openxmlformats.org/spreadsheetml/2006/main" count="47" uniqueCount="47">
  <si>
    <t>Fill in the yellow (blue-text) cells with your real numbers — everything else recalculates automatically.</t>
  </si>
  <si>
    <t>1. Infrastructure Inputs</t>
  </si>
  <si>
    <t>Number of GPUs (NVIDIA B300)</t>
  </si>
  <si>
    <t>Hours available per GPU per month</t>
  </si>
  <si>
    <t>Expected utilization rate (billable share of hours)</t>
  </si>
  <si>
    <t>Billable GPU-hours / month</t>
  </si>
  <si>
    <t>2. CapEx — GPU Hardware Cost &amp; Repayment</t>
  </si>
  <si>
    <t>Total GPU cluster purchase cost, unpaid (USD)</t>
  </si>
  <si>
    <t>Repayment period (months)</t>
  </si>
  <si>
    <t>Annual financing/interest rate (0% if none)</t>
  </si>
  <si>
    <t>Monthly CapEx repayment (USD)</t>
  </si>
  <si>
    <t>This is what you owe the vendor each month — treated as a real monthly cost until paid off.</t>
  </si>
  <si>
    <t>3. Power &amp; Cooling Cost</t>
  </si>
  <si>
    <t>Power draw per GPU (kW, incl. board/rack)</t>
  </si>
  <si>
    <t>PUE (Power Usage Effectiveness, incl. cooling)</t>
  </si>
  <si>
    <t>Electricity cost (USD / kWh)</t>
  </si>
  <si>
    <t>Total power consumption (kWh/month)</t>
  </si>
  <si>
    <t>Monthly electricity &amp; cooling cost (USD)</t>
  </si>
  <si>
    <t>4. Staffing Cost</t>
  </si>
  <si>
    <t>Number of operations/support staff (FTE)</t>
  </si>
  <si>
    <t>Average fully-loaded monthly salary per FTE (USD)</t>
  </si>
  <si>
    <t>Monthly staffing cost (USD)</t>
  </si>
  <si>
    <t>5. Software, Security &amp; Facility Overhead</t>
  </si>
  <si>
    <t>Software / orchestration licensing (USD / month)</t>
  </si>
  <si>
    <t>Cybersecurity stack &amp; monitoring (USD / month)</t>
  </si>
  <si>
    <t>Facility overhead: rent, network, connectivity (USD / month)</t>
  </si>
  <si>
    <t>Maintenance reserve for hardware refresh (USD / month, optional)</t>
  </si>
  <si>
    <t>Monthly software/security/facility cost (USD)</t>
  </si>
  <si>
    <t>6. Breakeven Cost per GPU-Hour</t>
  </si>
  <si>
    <t>Total monthly cost incl. CapEx repayment (USD)</t>
  </si>
  <si>
    <t>BREAKEVEN COST per GPU-hour (USD)</t>
  </si>
  <si>
    <t>Cost floor including hardware repayment — price below this and you can't pay off the GPUs.</t>
  </si>
  <si>
    <t>7. Target Pricing</t>
  </si>
  <si>
    <t>Target margin over breakeven cost</t>
  </si>
  <si>
    <t>Price at target margin (USD / GPU-hour)</t>
  </si>
  <si>
    <t>Competitor benchmark on-demand rate (USD / GPU-hour)</t>
  </si>
  <si>
    <t>Discount vs. benchmark</t>
  </si>
  <si>
    <t>Price at benchmark discount (USD / GPU-hour)</t>
  </si>
  <si>
    <t>8. Recommended On-Demand Price</t>
  </si>
  <si>
    <t>RECOMMENDED PRICE (USD / GPU-hour)</t>
  </si>
  <si>
    <t>Lower of (breakeven+margin) and (benchmark-discount) — falls back to cost+margin if the benchmark price would be below your cost floor.</t>
  </si>
  <si>
    <t>Status</t>
  </si>
  <si>
    <t>Resulting margin over breakeven at recommended price</t>
  </si>
  <si>
    <t>Months to fully repay GPU CapEx at recommended price</t>
  </si>
  <si>
    <t>Revenue minus non-CapEx costs, applied fully to paying off the GPU purchase.</t>
  </si>
  <si>
    <t>ADH Center — GPU-Hour Cost &amp; Pricing Calculator</t>
  </si>
  <si>
    <t>e.g. CoreWeave ,or  Lambda  (see market comparison)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</si>
</sst>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$#,##0"/>
    <numFmt numFmtId="165" formatCode="0.0%"/>
    <numFmt numFmtId="166" formatCode="0.000"/>
    <numFmt numFmtId="167" formatCode="\$#,##0.00"/>
    <numFmt numFmtId="168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B5121B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i/>
      <sz val="9"/>
      <color rgb="FF555555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/>
    <xf numFmtId="1" fontId="5" fillId="3" borderId="1" xfId="0" applyNumberFormat="1" applyFont="1" applyFill="1" applyBorder="1"/>
    <xf numFmtId="9" fontId="5" fillId="3" borderId="1" xfId="0" applyNumberFormat="1" applyFont="1" applyFill="1" applyBorder="1"/>
    <xf numFmtId="0" fontId="6" fillId="0" borderId="0" xfId="0" applyFont="1"/>
    <xf numFmtId="3" fontId="6" fillId="0" borderId="1" xfId="0" applyNumberFormat="1" applyFont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4" fontId="6" fillId="0" borderId="1" xfId="0" applyNumberFormat="1" applyFont="1" applyBorder="1"/>
    <xf numFmtId="0" fontId="7" fillId="0" borderId="0" xfId="0" applyFont="1"/>
    <xf numFmtId="2" fontId="5" fillId="3" borderId="1" xfId="0" applyNumberFormat="1" applyFont="1" applyFill="1" applyBorder="1"/>
    <xf numFmtId="166" fontId="5" fillId="3" borderId="1" xfId="0" applyNumberFormat="1" applyFont="1" applyFill="1" applyBorder="1"/>
    <xf numFmtId="3" fontId="4" fillId="0" borderId="1" xfId="0" applyNumberFormat="1" applyFont="1" applyBorder="1"/>
    <xf numFmtId="167" fontId="6" fillId="4" borderId="1" xfId="0" applyNumberFormat="1" applyFont="1" applyFill="1" applyBorder="1"/>
    <xf numFmtId="167" fontId="6" fillId="0" borderId="1" xfId="0" applyNumberFormat="1" applyFont="1" applyBorder="1"/>
    <xf numFmtId="167" fontId="5" fillId="3" borderId="1" xfId="0" applyNumberFormat="1" applyFont="1" applyFill="1" applyBorder="1"/>
    <xf numFmtId="167" fontId="6" fillId="3" borderId="1" xfId="0" applyNumberFormat="1" applyFont="1" applyFill="1" applyBorder="1"/>
    <xf numFmtId="165" fontId="6" fillId="0" borderId="1" xfId="0" applyNumberFormat="1" applyFont="1" applyBorder="1"/>
    <xf numFmtId="168" fontId="6" fillId="0" borderId="1" xfId="0" applyNumberFormat="1" applyFont="1" applyBorder="1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B5121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0"/>
  <sheetViews>
    <sheetView tabSelected="1" zoomScaleNormal="100" workbookViewId="0">
      <selection activeCell="D49" sqref="D49"/>
    </sheetView>
  </sheetViews>
  <sheetFormatPr defaultColWidth="8.6328125" defaultRowHeight="14.5" x14ac:dyDescent="0.35"/>
  <cols>
    <col min="1" max="1" width="61" customWidth="1"/>
    <col min="2" max="2" width="14" customWidth="1"/>
    <col min="3" max="3" width="4" customWidth="1"/>
    <col min="4" max="4" width="46" customWidth="1"/>
  </cols>
  <sheetData>
    <row r="1" spans="1:4" ht="18" x14ac:dyDescent="0.4">
      <c r="A1" s="19" t="s">
        <v>45</v>
      </c>
      <c r="B1" s="19"/>
      <c r="C1" s="19"/>
      <c r="D1" s="19"/>
    </row>
    <row r="2" spans="1:4" x14ac:dyDescent="0.35">
      <c r="A2" s="20" t="s">
        <v>0</v>
      </c>
      <c r="B2" s="20"/>
      <c r="C2" s="20"/>
      <c r="D2" s="20"/>
    </row>
    <row r="4" spans="1:4" x14ac:dyDescent="0.35">
      <c r="A4" s="21" t="s">
        <v>1</v>
      </c>
      <c r="B4" s="21"/>
      <c r="C4" s="21"/>
    </row>
    <row r="5" spans="1:4" x14ac:dyDescent="0.35">
      <c r="A5" s="1" t="s">
        <v>2</v>
      </c>
      <c r="B5" s="2">
        <v>32</v>
      </c>
    </row>
    <row r="6" spans="1:4" x14ac:dyDescent="0.35">
      <c r="A6" s="1" t="s">
        <v>3</v>
      </c>
      <c r="B6" s="2">
        <v>720</v>
      </c>
    </row>
    <row r="7" spans="1:4" x14ac:dyDescent="0.35">
      <c r="A7" s="1" t="s">
        <v>4</v>
      </c>
      <c r="B7" s="3">
        <v>0.65</v>
      </c>
    </row>
    <row r="8" spans="1:4" x14ac:dyDescent="0.35">
      <c r="A8" s="4" t="s">
        <v>5</v>
      </c>
      <c r="B8" s="5">
        <f>B5*B6*B7</f>
        <v>14976</v>
      </c>
    </row>
    <row r="10" spans="1:4" x14ac:dyDescent="0.35">
      <c r="A10" s="21" t="s">
        <v>6</v>
      </c>
      <c r="B10" s="21"/>
      <c r="C10" s="21"/>
    </row>
    <row r="11" spans="1:4" x14ac:dyDescent="0.35">
      <c r="A11" s="1" t="s">
        <v>7</v>
      </c>
      <c r="B11" s="6">
        <v>1500000</v>
      </c>
    </row>
    <row r="12" spans="1:4" x14ac:dyDescent="0.35">
      <c r="A12" s="1" t="s">
        <v>8</v>
      </c>
      <c r="B12" s="2">
        <v>36</v>
      </c>
    </row>
    <row r="13" spans="1:4" x14ac:dyDescent="0.35">
      <c r="A13" s="1" t="s">
        <v>9</v>
      </c>
      <c r="B13" s="7">
        <v>0</v>
      </c>
    </row>
    <row r="14" spans="1:4" x14ac:dyDescent="0.35">
      <c r="A14" s="4" t="s">
        <v>10</v>
      </c>
      <c r="B14" s="8">
        <f>-PMT(B13/12,B12,B11)</f>
        <v>41666.666666666664</v>
      </c>
      <c r="D14" s="9" t="s">
        <v>11</v>
      </c>
    </row>
    <row r="16" spans="1:4" x14ac:dyDescent="0.35">
      <c r="A16" s="21" t="s">
        <v>12</v>
      </c>
      <c r="B16" s="21"/>
      <c r="C16" s="21"/>
    </row>
    <row r="17" spans="1:3" x14ac:dyDescent="0.35">
      <c r="A17" s="1" t="s">
        <v>13</v>
      </c>
      <c r="B17" s="10">
        <v>1</v>
      </c>
    </row>
    <row r="18" spans="1:3" x14ac:dyDescent="0.35">
      <c r="A18" s="1" t="s">
        <v>14</v>
      </c>
      <c r="B18" s="10">
        <v>1.4</v>
      </c>
    </row>
    <row r="19" spans="1:3" x14ac:dyDescent="0.35">
      <c r="A19" s="1" t="s">
        <v>15</v>
      </c>
      <c r="B19" s="11">
        <v>0.12</v>
      </c>
    </row>
    <row r="20" spans="1:3" x14ac:dyDescent="0.35">
      <c r="A20" s="1" t="s">
        <v>16</v>
      </c>
      <c r="B20" s="12">
        <f>B5*B17*B18*B6</f>
        <v>32255.999999999996</v>
      </c>
    </row>
    <row r="21" spans="1:3" x14ac:dyDescent="0.35">
      <c r="A21" s="4" t="s">
        <v>17</v>
      </c>
      <c r="B21" s="8">
        <f>B20*B19</f>
        <v>3870.7199999999993</v>
      </c>
    </row>
    <row r="23" spans="1:3" x14ac:dyDescent="0.35">
      <c r="A23" s="21" t="s">
        <v>18</v>
      </c>
      <c r="B23" s="21"/>
      <c r="C23" s="21"/>
    </row>
    <row r="24" spans="1:3" x14ac:dyDescent="0.35">
      <c r="A24" s="1" t="s">
        <v>19</v>
      </c>
      <c r="B24" s="2">
        <v>5</v>
      </c>
    </row>
    <row r="25" spans="1:3" x14ac:dyDescent="0.35">
      <c r="A25" s="1" t="s">
        <v>20</v>
      </c>
      <c r="B25" s="6">
        <v>2500</v>
      </c>
    </row>
    <row r="26" spans="1:3" x14ac:dyDescent="0.35">
      <c r="A26" s="4" t="s">
        <v>21</v>
      </c>
      <c r="B26" s="8">
        <f>B24*B25</f>
        <v>12500</v>
      </c>
    </row>
    <row r="28" spans="1:3" x14ac:dyDescent="0.35">
      <c r="A28" s="21" t="s">
        <v>22</v>
      </c>
      <c r="B28" s="21"/>
      <c r="C28" s="21"/>
    </row>
    <row r="29" spans="1:3" x14ac:dyDescent="0.35">
      <c r="A29" s="1" t="s">
        <v>23</v>
      </c>
      <c r="B29" s="6">
        <v>3000</v>
      </c>
    </row>
    <row r="30" spans="1:3" x14ac:dyDescent="0.35">
      <c r="A30" s="1" t="s">
        <v>24</v>
      </c>
      <c r="B30" s="6">
        <v>2000</v>
      </c>
    </row>
    <row r="31" spans="1:3" x14ac:dyDescent="0.35">
      <c r="A31" s="1" t="s">
        <v>25</v>
      </c>
      <c r="B31" s="6">
        <v>4000</v>
      </c>
    </row>
    <row r="32" spans="1:3" x14ac:dyDescent="0.35">
      <c r="A32" s="1" t="s">
        <v>26</v>
      </c>
      <c r="B32" s="6">
        <v>1500</v>
      </c>
    </row>
    <row r="33" spans="1:4" x14ac:dyDescent="0.35">
      <c r="A33" s="4" t="s">
        <v>27</v>
      </c>
      <c r="B33" s="8">
        <f>SUM(B29:B32)</f>
        <v>10500</v>
      </c>
    </row>
    <row r="35" spans="1:4" x14ac:dyDescent="0.35">
      <c r="A35" s="21" t="s">
        <v>28</v>
      </c>
      <c r="B35" s="21"/>
      <c r="C35" s="21"/>
    </row>
    <row r="36" spans="1:4" x14ac:dyDescent="0.35">
      <c r="A36" s="4" t="s">
        <v>29</v>
      </c>
      <c r="B36" s="8">
        <f>B14+B21+B26+B33</f>
        <v>68537.386666666658</v>
      </c>
    </row>
    <row r="37" spans="1:4" x14ac:dyDescent="0.35">
      <c r="A37" s="4" t="s">
        <v>30</v>
      </c>
      <c r="B37" s="13">
        <f>B36/B8</f>
        <v>4.5764814814814807</v>
      </c>
      <c r="D37" s="9" t="s">
        <v>31</v>
      </c>
    </row>
    <row r="39" spans="1:4" x14ac:dyDescent="0.35">
      <c r="A39" s="21" t="s">
        <v>32</v>
      </c>
      <c r="B39" s="21"/>
      <c r="C39" s="21"/>
    </row>
    <row r="40" spans="1:4" x14ac:dyDescent="0.35">
      <c r="A40" s="1" t="s">
        <v>33</v>
      </c>
      <c r="B40" s="3">
        <v>0.3</v>
      </c>
    </row>
    <row r="41" spans="1:4" x14ac:dyDescent="0.35">
      <c r="A41" s="4" t="s">
        <v>34</v>
      </c>
      <c r="B41" s="14">
        <f>B37*(1+B40)</f>
        <v>5.949425925925925</v>
      </c>
    </row>
    <row r="42" spans="1:4" x14ac:dyDescent="0.35">
      <c r="A42" s="1" t="s">
        <v>35</v>
      </c>
      <c r="B42" s="15">
        <v>5</v>
      </c>
      <c r="D42" s="9" t="s">
        <v>46</v>
      </c>
    </row>
    <row r="43" spans="1:4" x14ac:dyDescent="0.35">
      <c r="A43" s="1" t="s">
        <v>36</v>
      </c>
      <c r="B43" s="3">
        <v>0.15</v>
      </c>
    </row>
    <row r="44" spans="1:4" x14ac:dyDescent="0.35">
      <c r="A44" s="4" t="s">
        <v>37</v>
      </c>
      <c r="B44" s="14">
        <f>B42*(1-B43)</f>
        <v>4.25</v>
      </c>
    </row>
    <row r="46" spans="1:4" x14ac:dyDescent="0.35">
      <c r="A46" s="21" t="s">
        <v>38</v>
      </c>
      <c r="B46" s="21"/>
      <c r="C46" s="21"/>
      <c r="D46" s="21"/>
    </row>
    <row r="47" spans="1:4" x14ac:dyDescent="0.35">
      <c r="A47" s="4" t="s">
        <v>39</v>
      </c>
      <c r="B47" s="16">
        <f>IF(B44&gt;=B37,MIN(B41,B44),B41)</f>
        <v>5.949425925925925</v>
      </c>
      <c r="D47" s="9" t="s">
        <v>40</v>
      </c>
    </row>
    <row r="48" spans="1:4" x14ac:dyDescent="0.35">
      <c r="A48" s="4" t="s">
        <v>41</v>
      </c>
      <c r="B48" s="22" t="str">
        <f>IF(B44&lt;B37,"WARNING: benchmark discount price is below your breakeven cost — priced at cost+margin instead","OK: priced within competitor benchmark")</f>
        <v>WARNING: benchmark discount price is below your breakeven cost — priced at cost+margin instead</v>
      </c>
      <c r="C48" s="22"/>
      <c r="D48" s="22"/>
    </row>
    <row r="49" spans="1:4" x14ac:dyDescent="0.35">
      <c r="A49" s="4" t="s">
        <v>42</v>
      </c>
      <c r="B49" s="17">
        <f>B47/B37-1</f>
        <v>0.30000000000000004</v>
      </c>
    </row>
    <row r="50" spans="1:4" x14ac:dyDescent="0.35">
      <c r="A50" s="4" t="s">
        <v>43</v>
      </c>
      <c r="B50" s="18">
        <f>IF((B8*B47-(B21+B26+B33))&gt;0,B11/(B8*B47-(B21+B26+B33)),"N/A - revenue doesn't cover non-CapEx costs")</f>
        <v>24.104949995406137</v>
      </c>
      <c r="D50" s="9" t="s">
        <v>44</v>
      </c>
    </row>
  </sheetData>
  <mergeCells count="11">
    <mergeCell ref="B48:D48"/>
    <mergeCell ref="A23:C23"/>
    <mergeCell ref="A28:C28"/>
    <mergeCell ref="A35:C35"/>
    <mergeCell ref="A39:C39"/>
    <mergeCell ref="A46:D46"/>
    <mergeCell ref="A1:D1"/>
    <mergeCell ref="A2:D2"/>
    <mergeCell ref="A4:C4"/>
    <mergeCell ref="A10:C10"/>
    <mergeCell ref="A16:C16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GPU Cost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Lama al- Arabiat</cp:lastModifiedBy>
  <cp:revision>0</cp:revision>
  <dcterms:created xsi:type="dcterms:W3CDTF">2026-09-11T19:42:55Z</dcterms:created>
  <dcterms:modified xsi:type="dcterms:W3CDTF">2026-09-12T09:29:01Z</dcterms:modified>
  <dc:language>en-US</dc:language>
</cp:coreProperties>
</file>